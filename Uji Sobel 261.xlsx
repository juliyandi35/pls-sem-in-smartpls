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3940425 (PLS-SEM in SmartPLS)\"/>
    </mc:Choice>
  </mc:AlternateContent>
  <xr:revisionPtr revIDLastSave="0" documentId="13_ncr:1_{24EF4792-90FA-4B07-83CC-EB3A8C84758A}" xr6:coauthVersionLast="47" xr6:coauthVersionMax="47" xr10:uidLastSave="{00000000-0000-0000-0000-000000000000}"/>
  <bookViews>
    <workbookView xWindow="-110" yWindow="-110" windowWidth="19420" windowHeight="10300" xr2:uid="{06A6D30D-25ED-4D49-95E1-13119519E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0" i="1"/>
  <c r="B9" i="1"/>
  <c r="H6" i="1"/>
  <c r="H5" i="1"/>
  <c r="H4" i="1"/>
  <c r="H3" i="1"/>
  <c r="H2" i="1"/>
  <c r="B13" i="1" l="1"/>
  <c r="D13" i="1" s="1"/>
  <c r="G6" i="1"/>
  <c r="G5" i="1"/>
  <c r="G4" i="1"/>
  <c r="G3" i="1"/>
  <c r="G2" i="1"/>
  <c r="D9" i="1" l="1"/>
</calcChain>
</file>

<file path=xl/sharedStrings.xml><?xml version="1.0" encoding="utf-8"?>
<sst xmlns="http://schemas.openxmlformats.org/spreadsheetml/2006/main" count="21" uniqueCount="18">
  <si>
    <t/>
  </si>
  <si>
    <t>Significance</t>
  </si>
  <si>
    <t>Standar Error</t>
  </si>
  <si>
    <t>t hitung</t>
  </si>
  <si>
    <t>Kesimpulan</t>
  </si>
  <si>
    <t>t tabel</t>
  </si>
  <si>
    <t>Original sample (O)</t>
  </si>
  <si>
    <t>Sample mean (M)</t>
  </si>
  <si>
    <t>Standard deviation (STDEV)</t>
  </si>
  <si>
    <t>T statistics (|O/STDEV|)</t>
  </si>
  <si>
    <t>P values</t>
  </si>
  <si>
    <t>Customer Satisfaction -&gt; Revisit Intention</t>
  </si>
  <si>
    <t>Facilities -&gt; Customer Satisfaction</t>
  </si>
  <si>
    <t>Facilities -&gt; Revisit Intention</t>
  </si>
  <si>
    <t>Service Quality -&gt; Customer Satisfaction</t>
  </si>
  <si>
    <t>Service Quality -&gt; Revisit Intention</t>
  </si>
  <si>
    <t>SQ -&gt; CS -&gt; RI</t>
  </si>
  <si>
    <t>F -&gt; CS -&gt;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</si>
</sst>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6"/>
      <name val="Arial"/>
      <family val="2"/>
    </font>
    <font>
      <sz val="11"/>
      <color rgb="FFFFFFFF"/>
      <name val="Calibri"/>
      <family val="2"/>
    </font>
    <font>
      <sz val="11"/>
      <color rgb="FF8B0000"/>
      <name val="Calibri"/>
      <family val="2"/>
    </font>
    <font>
      <sz val="11"/>
      <color rgb="FF0064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AC56-CC49-45A3-80DE-807387A4F7D8}">
  <dimension ref="A1:H14"/>
  <sheetViews>
    <sheetView tabSelected="1" workbookViewId="0">
      <selection activeCell="C10" sqref="C10"/>
    </sheetView>
  </sheetViews>
  <sheetFormatPr defaultRowHeight="14.5" x14ac:dyDescent="0.35"/>
  <cols>
    <col min="1" max="1" width="54.17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5" t="s">
        <v>0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1" t="s">
        <v>1</v>
      </c>
      <c r="H1" s="1" t="s">
        <v>2</v>
      </c>
    </row>
    <row r="2" spans="1:8" x14ac:dyDescent="0.35">
      <c r="A2" s="7" t="s">
        <v>11</v>
      </c>
      <c r="B2" s="8">
        <v>0.1226976312105921</v>
      </c>
      <c r="C2" s="8">
        <v>0.15654651538141362</v>
      </c>
      <c r="D2" s="8">
        <v>0.12598638246050239</v>
      </c>
      <c r="E2" s="8">
        <v>0.97389597839320974</v>
      </c>
      <c r="F2" s="9">
        <v>0.33015527693652302</v>
      </c>
      <c r="G2" s="2" t="str">
        <f>IF(F2&lt;0.01,"***",IF(F2&lt;0.05,"**",IF(F2&lt;0.1,"*","Not Significant")))</f>
        <v>Not Significant</v>
      </c>
      <c r="H2" s="3">
        <f>D2/SQRT(261)</f>
        <v>7.7983612989021298E-3</v>
      </c>
    </row>
    <row r="3" spans="1:8" x14ac:dyDescent="0.35">
      <c r="A3" s="7" t="s">
        <v>12</v>
      </c>
      <c r="B3" s="10">
        <v>0.19610524020738099</v>
      </c>
      <c r="C3" s="10">
        <v>0.18967086880413253</v>
      </c>
      <c r="D3" s="10">
        <v>0.1528008382855118</v>
      </c>
      <c r="E3" s="10">
        <v>1.2834042169386135</v>
      </c>
      <c r="F3" s="11">
        <v>0.19940992491848419</v>
      </c>
      <c r="G3" s="2" t="str">
        <f t="shared" ref="G3:G6" si="0">IF(F3&lt;0.01,"***",IF(F3&lt;0.05,"**",IF(F3&lt;0.1,"*","Not Significant")))</f>
        <v>Not Significant</v>
      </c>
      <c r="H3" s="3">
        <f>D3/SQRT(261)</f>
        <v>9.4581344463883776E-3</v>
      </c>
    </row>
    <row r="4" spans="1:8" x14ac:dyDescent="0.35">
      <c r="A4" s="7" t="s">
        <v>13</v>
      </c>
      <c r="B4" s="8">
        <v>0.306443427053321</v>
      </c>
      <c r="C4" s="8">
        <v>0.23116349308130266</v>
      </c>
      <c r="D4" s="8">
        <v>0.17613047501329171</v>
      </c>
      <c r="E4" s="8">
        <v>1.739866011433826</v>
      </c>
      <c r="F4" s="9">
        <v>8.1944076431284429E-2</v>
      </c>
      <c r="G4" s="2" t="str">
        <f t="shared" si="0"/>
        <v>*</v>
      </c>
      <c r="H4" s="3">
        <f>D4/SQRT(261)</f>
        <v>1.0902202706959331E-2</v>
      </c>
    </row>
    <row r="5" spans="1:8" x14ac:dyDescent="0.35">
      <c r="A5" s="7" t="s">
        <v>14</v>
      </c>
      <c r="B5" s="10">
        <v>0.3432385879080424</v>
      </c>
      <c r="C5" s="10">
        <v>0.34461600204229692</v>
      </c>
      <c r="D5" s="10">
        <v>8.2604240962965675E-2</v>
      </c>
      <c r="E5" s="10">
        <v>4.1552175034442609</v>
      </c>
      <c r="F5" s="12">
        <v>3.3041050926385651E-5</v>
      </c>
      <c r="G5" s="2" t="str">
        <f t="shared" si="0"/>
        <v>***</v>
      </c>
      <c r="H5" s="3">
        <f>D5/SQRT(261)</f>
        <v>5.1130741534921977E-3</v>
      </c>
    </row>
    <row r="6" spans="1:8" x14ac:dyDescent="0.35">
      <c r="A6" s="7" t="s">
        <v>15</v>
      </c>
      <c r="B6" s="8">
        <v>0.31767032678538604</v>
      </c>
      <c r="C6" s="8">
        <v>0.26455419273652997</v>
      </c>
      <c r="D6" s="8">
        <v>0.11330632274448414</v>
      </c>
      <c r="E6" s="8">
        <v>2.8036416599783309</v>
      </c>
      <c r="F6" s="13">
        <v>5.072375911652216E-3</v>
      </c>
      <c r="G6" s="2" t="str">
        <f t="shared" si="0"/>
        <v>***</v>
      </c>
      <c r="H6" s="3">
        <f>D6/SQRT(261)</f>
        <v>7.0134853065450557E-3</v>
      </c>
    </row>
    <row r="8" spans="1:8" x14ac:dyDescent="0.35">
      <c r="A8" s="4" t="s">
        <v>16</v>
      </c>
    </row>
    <row r="9" spans="1:8" x14ac:dyDescent="0.35">
      <c r="A9" s="4" t="s">
        <v>3</v>
      </c>
      <c r="B9">
        <f>(B5*B2)/(SQRT(((B2^2)*(H5^2))+((B5^2)*(H2^2))))</f>
        <v>15.318642294566807</v>
      </c>
      <c r="C9" t="s">
        <v>4</v>
      </c>
      <c r="D9" t="str">
        <f>IF(ABS(B9)&lt;B10,"Gagal Intervernsi","Sukses Intervensi")</f>
        <v>Sukses Intervensi</v>
      </c>
    </row>
    <row r="10" spans="1:8" x14ac:dyDescent="0.35">
      <c r="A10" t="s">
        <v>5</v>
      </c>
      <c r="B10">
        <f>TINV(0.05,(261-4))</f>
        <v>1.9692374962336785</v>
      </c>
    </row>
    <row r="12" spans="1:8" x14ac:dyDescent="0.35">
      <c r="A12" s="4" t="s">
        <v>17</v>
      </c>
    </row>
    <row r="13" spans="1:8" x14ac:dyDescent="0.35">
      <c r="A13" s="4" t="s">
        <v>3</v>
      </c>
      <c r="B13">
        <f>(B3*B2)/(SQRT(((B2^2)*(H3^2))+((B3^2)*(H2^2))))</f>
        <v>12.533646028972989</v>
      </c>
      <c r="C13" t="s">
        <v>4</v>
      </c>
      <c r="D13" t="str">
        <f>IF(ABS(B13)&lt;B14,"Gagal Intervernsi","Sukses Intervensi")</f>
        <v>Sukses Intervensi</v>
      </c>
    </row>
    <row r="14" spans="1:8" x14ac:dyDescent="0.35">
      <c r="A14" t="s">
        <v>5</v>
      </c>
      <c r="B14">
        <f>TINV(0.05,(261-4))</f>
        <v>1.9692374962336785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2024-08-13T04:45:29Z</dcterms:created>
  <dcterms:modified xsi:type="dcterms:W3CDTF">2025-04-17T13:39:19Z</dcterms:modified>
</cp:coreProperties>
</file>